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 Hossam\Desktop\Task Board &amp; Burndown Chart\"/>
    </mc:Choice>
  </mc:AlternateContent>
  <xr:revisionPtr revIDLastSave="0" documentId="8_{0489542C-49D5-45F7-A278-150E7C8F0F4D}" xr6:coauthVersionLast="47" xr6:coauthVersionMax="47" xr10:uidLastSave="{00000000-0000-0000-0000-000000000000}"/>
  <bookViews>
    <workbookView xWindow="-108" yWindow="-108" windowWidth="23256" windowHeight="12576" xr2:uid="{502532AA-81F4-4780-8050-140E6A66C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2" i="1" l="1"/>
  <c r="I12" i="1"/>
  <c r="H12" i="1"/>
  <c r="G12" i="1"/>
  <c r="F12" i="1"/>
  <c r="E12" i="1"/>
  <c r="D11" i="1"/>
</calcChain>
</file>

<file path=xl/sharedStrings.xml><?xml version="1.0" encoding="utf-8"?>
<sst xmlns="http://schemas.openxmlformats.org/spreadsheetml/2006/main" count="22" uniqueCount="22">
  <si>
    <t>Sprint Burndown Chart</t>
  </si>
  <si>
    <t>Backlog ID</t>
  </si>
  <si>
    <t>User Stories</t>
  </si>
  <si>
    <t>Initial Estimate</t>
  </si>
  <si>
    <t>Day 0</t>
  </si>
  <si>
    <t>Day 1</t>
  </si>
  <si>
    <t>Day 2</t>
  </si>
  <si>
    <t>Day 3</t>
  </si>
  <si>
    <t>Day 4</t>
  </si>
  <si>
    <t>Day 5</t>
  </si>
  <si>
    <t>Day 6</t>
  </si>
  <si>
    <t xml:space="preserve">Day 7 </t>
  </si>
  <si>
    <t>Day 8</t>
  </si>
  <si>
    <t xml:space="preserve">Day 9 </t>
  </si>
  <si>
    <t>Day 10</t>
  </si>
  <si>
    <t>Remaining Effort</t>
  </si>
  <si>
    <t>Idial Trend</t>
  </si>
  <si>
    <t>Feature 1</t>
  </si>
  <si>
    <t>Feature 2</t>
  </si>
  <si>
    <t>Feature 3</t>
  </si>
  <si>
    <t>Feature 4</t>
  </si>
  <si>
    <t>Feature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</si>
</sst>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2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/>
    <xf numFmtId="0" fontId="1" fillId="0" borderId="0" xfId="0" applyFont="1"/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16" fontId="0" fillId="3" borderId="4" xfId="0" applyNumberFormat="1" applyFill="1" applyBorder="1" applyAlignment="1">
      <alignment horizontal="center" vertical="center"/>
    </xf>
    <xf numFmtId="16" fontId="0" fillId="3" borderId="5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 Burndown Chart</a:t>
            </a:r>
          </a:p>
        </c:rich>
      </c:tx>
      <c:layout>
        <c:manualLayout>
          <c:xMode val="edge"/>
          <c:yMode val="edge"/>
          <c:x val="0.3122707786526683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Sheet1!$B$11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(Sheet1!$D$5,Sheet1!$E$5,Sheet1!$F$5,Sheet1!$G$5,Sheet1!$H$5,Sheet1!$I$5,Sheet1!$J$5,Sheet1!$K$5,Sheet1!$L$5,Sheet1!$M$5,Sheet1!$N$5)</c:f>
              <c:strCache>
                <c:ptCount val="11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 </c:v>
                </c:pt>
                <c:pt idx="8">
                  <c:v>Day 8</c:v>
                </c:pt>
                <c:pt idx="9">
                  <c:v>Day 9 </c:v>
                </c:pt>
                <c:pt idx="10">
                  <c:v>Day 10</c:v>
                </c:pt>
              </c:strCache>
            </c:strRef>
          </c:cat>
          <c:val>
            <c:numRef>
              <c:f>Sheet1!$C$11:$N$11</c:f>
              <c:numCache>
                <c:formatCode>General</c:formatCode>
                <c:ptCount val="12"/>
                <c:pt idx="1">
                  <c:v>20</c:v>
                </c:pt>
                <c:pt idx="2">
                  <c:v>20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11</c:v>
                </c:pt>
                <c:pt idx="7">
                  <c:v>9</c:v>
                </c:pt>
                <c:pt idx="8">
                  <c:v>7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85-4E04-A7D7-01363D93C818}"/>
            </c:ext>
          </c:extLst>
        </c:ser>
        <c:ser>
          <c:idx val="6"/>
          <c:order val="1"/>
          <c:tx>
            <c:strRef>
              <c:f>Sheet1!$B$12</c:f>
              <c:strCache>
                <c:ptCount val="1"/>
                <c:pt idx="0">
                  <c:v>Idial Trend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(Sheet1!$D$5,Sheet1!$E$5,Sheet1!$F$5,Sheet1!$G$5,Sheet1!$H$5,Sheet1!$I$5,Sheet1!$J$5,Sheet1!$K$5,Sheet1!$L$5,Sheet1!$M$5,Sheet1!$N$5)</c:f>
              <c:strCache>
                <c:ptCount val="11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 </c:v>
                </c:pt>
                <c:pt idx="8">
                  <c:v>Day 8</c:v>
                </c:pt>
                <c:pt idx="9">
                  <c:v>Day 9 </c:v>
                </c:pt>
                <c:pt idx="10">
                  <c:v>Day 10</c:v>
                </c:pt>
              </c:strCache>
            </c:strRef>
          </c:cat>
          <c:val>
            <c:numRef>
              <c:f>Sheet1!$C$12:$N$12</c:f>
              <c:numCache>
                <c:formatCode>General</c:formatCode>
                <c:ptCount val="12"/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85-4E04-A7D7-01363D93C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857888"/>
        <c:axId val="815859552"/>
      </c:lineChart>
      <c:catAx>
        <c:axId val="81585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859552"/>
        <c:crosses val="autoZero"/>
        <c:auto val="1"/>
        <c:lblAlgn val="ctr"/>
        <c:lblOffset val="100"/>
        <c:noMultiLvlLbl val="0"/>
      </c:catAx>
      <c:valAx>
        <c:axId val="8158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85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12</xdr:row>
      <xdr:rowOff>7620</xdr:rowOff>
    </xdr:from>
    <xdr:to>
      <xdr:col>12</xdr:col>
      <xdr:colOff>0</xdr:colOff>
      <xdr:row>29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1CCCD9-5141-61EE-AD09-2AF260A12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22B4-F20E-491C-9A8A-2C0D9AD5AA81}">
  <dimension ref="B2:N13"/>
  <sheetViews>
    <sheetView tabSelected="1" workbookViewId="0">
      <selection activeCell="N12" sqref="N12"/>
    </sheetView>
  </sheetViews>
  <sheetFormatPr defaultRowHeight="14.4" x14ac:dyDescent="0.3"/>
  <cols>
    <col min="1" max="1" width="3.5546875" customWidth="1"/>
    <col min="2" max="2" width="10.33203125" customWidth="1"/>
    <col min="3" max="3" width="13.21875" customWidth="1"/>
    <col min="4" max="4" width="13" customWidth="1"/>
  </cols>
  <sheetData>
    <row r="2" spans="2:14" ht="33" customHeight="1" x14ac:dyDescent="0.3">
      <c r="B2" s="15" t="s">
        <v>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</row>
    <row r="3" spans="2:14" ht="15" thickBot="1" x14ac:dyDescent="0.3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3">
      <c r="B4" s="18" t="s">
        <v>1</v>
      </c>
      <c r="C4" s="19" t="s">
        <v>2</v>
      </c>
      <c r="D4" s="20" t="s">
        <v>3</v>
      </c>
      <c r="E4" s="21">
        <v>44857</v>
      </c>
      <c r="F4" s="21">
        <v>44858</v>
      </c>
      <c r="G4" s="21">
        <v>44859</v>
      </c>
      <c r="H4" s="21">
        <v>44860</v>
      </c>
      <c r="I4" s="21">
        <v>44861</v>
      </c>
      <c r="J4" s="21">
        <v>44864</v>
      </c>
      <c r="K4" s="21">
        <v>44865</v>
      </c>
      <c r="L4" s="21">
        <v>44866</v>
      </c>
      <c r="M4" s="21">
        <v>44867</v>
      </c>
      <c r="N4" s="22">
        <v>44868</v>
      </c>
    </row>
    <row r="5" spans="2:14" ht="15" thickBot="1" x14ac:dyDescent="0.35">
      <c r="B5" s="23"/>
      <c r="C5" s="24"/>
      <c r="D5" s="25" t="s">
        <v>4</v>
      </c>
      <c r="E5" s="26" t="s">
        <v>5</v>
      </c>
      <c r="F5" s="26" t="s">
        <v>6</v>
      </c>
      <c r="G5" s="26" t="s">
        <v>7</v>
      </c>
      <c r="H5" s="26" t="s">
        <v>8</v>
      </c>
      <c r="I5" s="26" t="s">
        <v>9</v>
      </c>
      <c r="J5" s="26" t="s">
        <v>10</v>
      </c>
      <c r="K5" s="26" t="s">
        <v>11</v>
      </c>
      <c r="L5" s="26" t="s">
        <v>12</v>
      </c>
      <c r="M5" s="26" t="s">
        <v>13</v>
      </c>
      <c r="N5" s="27" t="s">
        <v>14</v>
      </c>
    </row>
    <row r="6" spans="2:14" x14ac:dyDescent="0.3">
      <c r="B6" s="13">
        <v>123</v>
      </c>
      <c r="C6" s="3" t="s">
        <v>17</v>
      </c>
      <c r="D6" s="36">
        <v>2</v>
      </c>
      <c r="E6" s="11"/>
      <c r="F6" s="2">
        <v>1</v>
      </c>
      <c r="G6" s="2"/>
      <c r="H6" s="2">
        <v>1</v>
      </c>
      <c r="I6" s="2"/>
      <c r="J6" s="2"/>
      <c r="K6" s="2"/>
      <c r="L6" s="2"/>
      <c r="M6" s="2"/>
      <c r="N6" s="7"/>
    </row>
    <row r="7" spans="2:14" x14ac:dyDescent="0.3">
      <c r="B7" s="6">
        <v>124</v>
      </c>
      <c r="C7" s="1" t="s">
        <v>18</v>
      </c>
      <c r="D7" s="37">
        <v>3</v>
      </c>
      <c r="E7" s="11"/>
      <c r="F7" s="2">
        <v>2</v>
      </c>
      <c r="G7" s="2"/>
      <c r="H7" s="2"/>
      <c r="I7" s="2"/>
      <c r="J7" s="2"/>
      <c r="K7" s="2"/>
      <c r="L7" s="2"/>
      <c r="M7" s="2"/>
      <c r="N7" s="7"/>
    </row>
    <row r="8" spans="2:14" x14ac:dyDescent="0.3">
      <c r="B8" s="6">
        <v>125</v>
      </c>
      <c r="C8" s="1" t="s">
        <v>19</v>
      </c>
      <c r="D8" s="37">
        <v>4</v>
      </c>
      <c r="E8" s="11"/>
      <c r="F8" s="2">
        <v>1</v>
      </c>
      <c r="G8" s="2">
        <v>1</v>
      </c>
      <c r="H8" s="2"/>
      <c r="I8" s="2">
        <v>-2</v>
      </c>
      <c r="J8" s="2">
        <v>1</v>
      </c>
      <c r="K8" s="2">
        <v>1</v>
      </c>
      <c r="L8" s="2">
        <v>2</v>
      </c>
      <c r="M8" s="2"/>
      <c r="N8" s="7"/>
    </row>
    <row r="9" spans="2:14" x14ac:dyDescent="0.3">
      <c r="B9" s="6">
        <v>126</v>
      </c>
      <c r="C9" s="1" t="s">
        <v>20</v>
      </c>
      <c r="D9" s="37">
        <v>5</v>
      </c>
      <c r="E9" s="11"/>
      <c r="F9" s="2">
        <v>1</v>
      </c>
      <c r="G9" s="2"/>
      <c r="H9" s="2">
        <v>1</v>
      </c>
      <c r="I9" s="2"/>
      <c r="J9" s="2"/>
      <c r="K9" s="2"/>
      <c r="L9" s="2">
        <v>1</v>
      </c>
      <c r="M9" s="2">
        <v>1</v>
      </c>
      <c r="N9" s="7">
        <v>1</v>
      </c>
    </row>
    <row r="10" spans="2:14" ht="15" thickBot="1" x14ac:dyDescent="0.35">
      <c r="B10" s="8">
        <v>127</v>
      </c>
      <c r="C10" s="4" t="s">
        <v>21</v>
      </c>
      <c r="D10" s="38">
        <v>6</v>
      </c>
      <c r="E10" s="12"/>
      <c r="F10" s="9">
        <v>1</v>
      </c>
      <c r="G10" s="9">
        <v>1</v>
      </c>
      <c r="H10" s="9"/>
      <c r="I10" s="9">
        <v>1</v>
      </c>
      <c r="J10" s="9">
        <v>1</v>
      </c>
      <c r="K10" s="9">
        <v>1</v>
      </c>
      <c r="L10" s="9"/>
      <c r="M10" s="9"/>
      <c r="N10" s="10"/>
    </row>
    <row r="11" spans="2:14" x14ac:dyDescent="0.3">
      <c r="B11" s="28" t="s">
        <v>15</v>
      </c>
      <c r="C11" s="29"/>
      <c r="D11" s="30">
        <f>SUM(D6:D10)</f>
        <v>20</v>
      </c>
      <c r="E11" s="30">
        <v>20</v>
      </c>
      <c r="F11" s="30">
        <v>14</v>
      </c>
      <c r="G11" s="30">
        <v>12</v>
      </c>
      <c r="H11" s="30">
        <v>10</v>
      </c>
      <c r="I11" s="30">
        <v>11</v>
      </c>
      <c r="J11" s="30">
        <v>9</v>
      </c>
      <c r="K11" s="30">
        <v>7</v>
      </c>
      <c r="L11" s="30">
        <v>4</v>
      </c>
      <c r="M11" s="30">
        <v>2</v>
      </c>
      <c r="N11" s="31">
        <v>1</v>
      </c>
    </row>
    <row r="12" spans="2:14" ht="15" thickBot="1" x14ac:dyDescent="0.35">
      <c r="B12" s="32" t="s">
        <v>16</v>
      </c>
      <c r="C12" s="33"/>
      <c r="D12" s="34">
        <v>20</v>
      </c>
      <c r="E12" s="34">
        <f>$D$12-($D$12/10*1)</f>
        <v>18</v>
      </c>
      <c r="F12" s="34">
        <f>$D$12-($D$12/10*2)</f>
        <v>16</v>
      </c>
      <c r="G12" s="34">
        <f>$D$12-($D$12/10*3)</f>
        <v>14</v>
      </c>
      <c r="H12" s="34">
        <f>$D$12-($D$12/10*4)</f>
        <v>12</v>
      </c>
      <c r="I12" s="34">
        <f>$D$12-($D$12/10*5)</f>
        <v>10</v>
      </c>
      <c r="J12" s="34">
        <v>8</v>
      </c>
      <c r="K12" s="34">
        <v>6</v>
      </c>
      <c r="L12" s="34">
        <v>4</v>
      </c>
      <c r="M12" s="34">
        <v>2</v>
      </c>
      <c r="N12" s="35">
        <f>$D$12-($D$12/10*10)</f>
        <v>0</v>
      </c>
    </row>
    <row r="13" spans="2:14" x14ac:dyDescent="0.3">
      <c r="N13" s="14"/>
    </row>
  </sheetData>
  <mergeCells count="6">
    <mergeCell ref="B3:N3"/>
    <mergeCell ref="B11:C11"/>
    <mergeCell ref="B12:C12"/>
    <mergeCell ref="C4:C5"/>
    <mergeCell ref="B4:B5"/>
    <mergeCell ref="B2:N2"/>
  </mergeCells>
  <conditionalFormatting sqref="E4:N4">
    <cfRule type="timePeriod" dxfId="0" priority="1" timePeriod="lastWeek">
      <formula>AND(TODAY()-ROUNDDOWN(E4,0)&gt;=(WEEKDAY(TODAY())),TODAY()-ROUNDDOWN(E4,0)&lt;(WEEKDAY(TODAY())+7))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Hossam</dc:creator>
  <cp:lastModifiedBy>Amr Hossam</cp:lastModifiedBy>
  <dcterms:created xsi:type="dcterms:W3CDTF">2022-10-24T22:47:14Z</dcterms:created>
  <dcterms:modified xsi:type="dcterms:W3CDTF">2022-10-25T00:03:04Z</dcterms:modified>
</cp:coreProperties>
</file>